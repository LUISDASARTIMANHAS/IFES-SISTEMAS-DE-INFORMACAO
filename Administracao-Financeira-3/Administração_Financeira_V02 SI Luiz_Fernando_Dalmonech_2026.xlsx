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ODELO GRADUAÇÃ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5">
      <text>
        <t xml:space="preserve">======
ID#AAABMu-S3us
Josiane Brunetti Cani    (2024-05-06 13:25:24)
Bom dia, professor! Segundo o ROD, são necessários, no mínimo, 3 instrumentos avaliativos diversificados. Aqui há apenas dois: prova e lista de exercício. Por favor, verifique.</t>
      </text>
    </comment>
    <comment authorId="0" ref="H37">
      <text>
        <t xml:space="preserve">======
ID#AAABMu-S3uw
Josiane Brunetti Cani    (2024-05-06 13:28:29)
Bom dia, professor! Segundo o ROD, são necessários, no mínimo, 3 instrumentos avaliativos diversificados. Aqui há apenas 2: prova e lista de exercícios. Favor verificar!</t>
      </text>
    </comment>
  </commentList>
</comments>
</file>

<file path=xl/sharedStrings.xml><?xml version="1.0" encoding="utf-8"?>
<sst xmlns="http://schemas.openxmlformats.org/spreadsheetml/2006/main" count="99" uniqueCount="92">
  <si>
    <t>Plano de Ensino 
Cursos de Graduação
(Anexo Instrução Normativa PROEN/IFES Nº 17/2023)</t>
  </si>
  <si>
    <t>CAMPUS</t>
  </si>
  <si>
    <t>Colatina</t>
  </si>
  <si>
    <t>CURSO</t>
  </si>
  <si>
    <t>Bacharelado em Sistemas de Informação</t>
  </si>
  <si>
    <t>COMPONENTE CURRICULAR</t>
  </si>
  <si>
    <t>Administração Financeira</t>
  </si>
  <si>
    <t>CARGA HORÁRIA (em horas)</t>
  </si>
  <si>
    <t>Total</t>
  </si>
  <si>
    <t>60h</t>
  </si>
  <si>
    <t>Teórica</t>
  </si>
  <si>
    <t>40h</t>
  </si>
  <si>
    <t>Prática</t>
  </si>
  <si>
    <t>20h</t>
  </si>
  <si>
    <t>DISTRIBUIÇÃO DA CARGA HORÁRIA</t>
  </si>
  <si>
    <t>Presencial</t>
  </si>
  <si>
    <t>A distância</t>
  </si>
  <si>
    <t>00h (preencher anexo II)</t>
  </si>
  <si>
    <t>ESTRUTURA DA DISCIPLINA</t>
  </si>
  <si>
    <t>Ensino</t>
  </si>
  <si>
    <t>Extensão</t>
  </si>
  <si>
    <t>PROFESSOR</t>
  </si>
  <si>
    <t>Luiz Fernando Dalmonech</t>
  </si>
  <si>
    <t>TURMA</t>
  </si>
  <si>
    <t>V02</t>
  </si>
  <si>
    <t>PERÍODO LETIVO</t>
  </si>
  <si>
    <t>2026/01</t>
  </si>
  <si>
    <t>PERÍODO DE EXECUÇÃO</t>
  </si>
  <si>
    <t>04/02/2026 A 02/07/2026</t>
  </si>
  <si>
    <t>DIA E HORÁRIO DE ATENDIMENTO</t>
  </si>
  <si>
    <t>Quinta-feira: 14:40 ÀS 15:30</t>
  </si>
  <si>
    <t>EMENTA</t>
  </si>
  <si>
    <t xml:space="preserve">Caracterização e analise de instrumentos tesouraria e Controladoria e suas inter-relações. Articulação desses instrumentos como elementos e processos contábeis e matemáticos financeiros. Desenvolvimento de instrumentos de gestão financeira. </t>
  </si>
  <si>
    <t>OBJETIVOS GERAIS</t>
  </si>
  <si>
    <t>Compreender os conceitos, métodos e técnicas da gestão financeira em organizações contemporâneas.</t>
  </si>
  <si>
    <t>OBJETIVOS ESPECÍFICOS</t>
  </si>
  <si>
    <t xml:space="preserve">Entender a valorização e desvalorização monetária. 
Compreender a operacionalização das decisões financeiras tomadas em nível organizacional para a manutenção e competição empresarial.
Entender as técnicas de análises financeiras, o processo formativo e de estruturação das demonstrações financeiras.
Prover informações de conceitos e técnicas atuais que possam otimizar a gestão, minimizar riscos e otimização de resultados.
Articular os instrumentos financeiros com elementos e processos contábeis e matemático-financeiros.
Desenvolver instrumentos de gestão financeir e análise de investimentos. 
Analisar documentos de tesouraria e controladoria financeira. </t>
  </si>
  <si>
    <t>CONTEÚDO PROGRAMÁTICO</t>
  </si>
  <si>
    <t xml:space="preserve">DISTRIBUIÇÃO (em aulas) </t>
  </si>
  <si>
    <t>TEÓRICA</t>
  </si>
  <si>
    <t>PRÁTICA</t>
  </si>
  <si>
    <t>1. Decisões empresariais e a contabilidade: Demonstrativos econômicos financeiros, Teoria de agencia e governança corporativa</t>
  </si>
  <si>
    <t>2. Administração de fluxo de caixa</t>
  </si>
  <si>
    <t>3. Administração do Capital de Giro</t>
  </si>
  <si>
    <t xml:space="preserve">4.  ANÁLISE DE INVESTIMENTOS
4.1 - Método Payback
4.2 - Método VPL (Valor Presente Líquido)
4.3 - Método TIR (Taxa Interna de Retorno)
</t>
  </si>
  <si>
    <t xml:space="preserve">5. ANÁLISE DAS DEMONSTRAÇÕES FINANCEIRAS (DECISÕES EMPRESARIAIS E CONTABILIDADE)
5.1 - Relatórios financeiros: tipologia e usuários (uso).
5.2 - Estrutura de análise: Análise Horizontal e vertical
5.3 - Indicadores econômicos e financeiros: liquidez, atividade, endividamento e lucratividade.
</t>
  </si>
  <si>
    <t>TOTAL</t>
  </si>
  <si>
    <t xml:space="preserve">PRÉ-REQUISITOS E/OU CORREQUISITOS </t>
  </si>
  <si>
    <t>METODOLOGIAS UTILIZADAS E RECURSOS</t>
  </si>
  <si>
    <t xml:space="preserve">Aulas presenciais com exposição de temas e exercícios, estudos de caso, listas de exercícios, uso da calculadora HP12C, seminários e apresentações de trabalhos.
Atividades on-line: Atividades didáticas não presenciais, desenvolvidas no Ambiente Virtual de Aprendizagem (Moodle).
</t>
  </si>
  <si>
    <t>SISTEMA DE AVALIAÇÃO</t>
  </si>
  <si>
    <t xml:space="preserve">CONTEÚDOS </t>
  </si>
  <si>
    <t>PONTUAÇÃO</t>
  </si>
  <si>
    <t>DATA</t>
  </si>
  <si>
    <t>Estudo de caso</t>
  </si>
  <si>
    <t>10 pontos</t>
  </si>
  <si>
    <t>Estudo de casos e Questionário Ciclos</t>
  </si>
  <si>
    <t>Desenvolvimento programa NCG</t>
  </si>
  <si>
    <t>20 pontos</t>
  </si>
  <si>
    <t>Prova</t>
  </si>
  <si>
    <t>Apresentação de trabalho</t>
  </si>
  <si>
    <t>Listas de exercícios</t>
  </si>
  <si>
    <r>
      <rPr>
        <rFont val="Arial"/>
        <b/>
        <color rgb="FF000000"/>
        <sz val="11.0"/>
      </rPr>
      <t xml:space="preserve">AÇÕES PEDAGÓGICAS ADEQUADAS ÀS NECESSIDADES ESPECÍFICAS DOS DISCENTES
</t>
    </r>
    <r>
      <rPr>
        <rFont val="Arial"/>
        <b val="0"/>
        <i/>
        <color rgb="FF000000"/>
        <sz val="11.0"/>
      </rPr>
      <t>(Apenas quando identificada as necessidades)</t>
    </r>
  </si>
  <si>
    <t>DIÁLOGOS COM A INOVAÇÃO, INTERDISCIPLINARIDADE E PESQUISA</t>
  </si>
  <si>
    <t>A disciplina dialogoa com Finanças, Orçamento, Matemática, Contabilidade.</t>
  </si>
  <si>
    <t>REFERÊNCIA - FORMATO ABNT</t>
  </si>
  <si>
    <t>KUROSE, James F Redes de Computadores e a Internet: Uma abordagem Top-Down5ª São Paulo Addison Wesley 2010
FOROUZAN, Behrouz A. Comunicação de Dados e Redes de Computadores 4ª São Paulo McGraw-Hill 2008
TANENBAUM, Andrew Redes de Computadores 5ª São Paulo Prentice Hall Brasil 2011.                                                                                                                 GITMAN, Lawrence Jeffrey; MADURA, Jeff. Administração financeira: uma abordagem gerencial. São Paulo: Pearson, 2003. E-book. Disponível em: https://plataforma.bvirtual.com.br. Acesso em: 05 mar 2026.                                                                                                                                                                              GITMAN, Lawrence Jeffrey; SANVICENTE, Antonio Zoratto. Princípios de administração financeira. 10. ed. São Paulo, SP: Pearson, 2004. E-book. Disponível em: https://plataforma.bvirtual.com.br. Acesso em: 05 mar 2026.                                                                                                                                                                        MARQUES, José Augusto Veiga da Costa; JÚNIOR, João Bosco Arbués Carneiro; KÜHL, Carlos Alberto. Análise Financeira das Empresas: Um guia para investidores. 3. ed. Rio de Janeiro: Freitas Bastos, 2025. E-book. Disponível em: https://plataforma.bvirtual.com.br. Acesso em: 05 mar 2026.</t>
  </si>
  <si>
    <t>FOROUZAN, Behrouz A. Comunicação de Dados e Redes de Computadores 4ª São Paulo McGraw-Hill 2008</t>
  </si>
  <si>
    <t>Pendências apontadas pela CGP</t>
  </si>
  <si>
    <t>TANENBAUM, Andrew Redes de Computadores 5ª São Paulo Prentice Hall Brasil 2011.                                                                                                                 GITMAN, Lawrence Jeffrey; MADURA, Jeff. Administração financeira: uma abordagem gerencial. São Paulo: Pearson, 2003. E-book. Disponível em: https://plataforma.bvirtual.com.br. Acesso em: 05 mar 2026.                                                                                                                                                                              GITMAN, Lawrence Jeffrey; SANVICENTE, Antonio Zoratto. Princípios de administração financeira. 10. ed. São Paulo, SP: Pearson, 2004. E-book. Disponível em: https://plataforma.bvirtual.com.br. Acesso em: 05 mar 2026.                                                                                                                                                                        MARQUES, José Augusto Veiga da Costa; JÚNIOR, João Bosco Arbués Carneiro; KÜHL, Carlos Alberto. Análise Financeira das Empresas: Um guia para investidores. 3. ed. Rio de Janeiro: Freitas Bastos, 2025. E-book. Disponível em: https://plataforma.bvirtual.com.br. Acesso em: 05 mar 2026.</t>
  </si>
  <si>
    <t>INFORMAÇÕES SORE AS ATIVIDADES CURRICULARES DE EXTENSÃO</t>
  </si>
  <si>
    <r>
      <rPr>
        <rFont val="Arial"/>
        <b/>
        <color rgb="FF000000"/>
        <sz val="10.0"/>
      </rPr>
      <t>Finalidade</t>
    </r>
    <r>
      <rPr>
        <rFont val="Arial"/>
        <b val="0"/>
        <color rgb="FF000000"/>
        <sz val="10.0"/>
      </rPr>
      <t xml:space="preserve">:
</t>
    </r>
    <r>
      <rPr>
        <rFont val="Arial"/>
        <b val="0"/>
        <i/>
        <color rgb="FF000000"/>
        <sz val="9.0"/>
      </rPr>
      <t>(Descreva ao lado de que forma o desenvolvimento das atividades de extensão colabora com cumprimento dos objetivos formativos do curso e do componente curricular).</t>
    </r>
  </si>
  <si>
    <r>
      <rPr>
        <rFont val="Arial"/>
        <b/>
        <color rgb="FF000000"/>
        <sz val="10.0"/>
      </rPr>
      <t>Atuação do estudante</t>
    </r>
    <r>
      <rPr>
        <rFont val="Arial"/>
        <b val="0"/>
        <color rgb="FF000000"/>
        <sz val="10.0"/>
      </rPr>
      <t xml:space="preserve">:
</t>
    </r>
    <r>
      <rPr>
        <rFont val="Arial"/>
        <b val="0"/>
        <i/>
        <color rgb="FF000000"/>
        <sz val="9.0"/>
      </rPr>
      <t>(Descreva ao lado como será a atuação dos estudantes com relação a outros setores da sociedade, identificando esses grupos e organizações externos).</t>
    </r>
  </si>
  <si>
    <r>
      <rPr>
        <rFont val="Arial"/>
        <b/>
        <color rgb="FF000000"/>
        <sz val="10.0"/>
      </rPr>
      <t>Avaliação</t>
    </r>
    <r>
      <rPr>
        <rFont val="Arial"/>
        <b val="0"/>
        <color rgb="FF000000"/>
        <sz val="10.0"/>
      </rPr>
      <t xml:space="preserve">: 
</t>
    </r>
    <r>
      <rPr>
        <rFont val="Arial"/>
        <b val="0"/>
        <i/>
        <color rgb="FF000000"/>
        <sz val="9.0"/>
      </rPr>
      <t>(Descreva ao lado os instrumentos e critérios que serão utilizados para avaliar os estudantes na execução das atividades de extensão).</t>
    </r>
  </si>
  <si>
    <r>
      <rPr>
        <rFont val="Arial"/>
        <b/>
        <color rgb="FF000000"/>
        <sz val="11.0"/>
      </rPr>
      <t xml:space="preserve">DESCRIÇÃO DAS ATIVIDADES CURRICULARES DE EXTENSÃO
</t>
    </r>
    <r>
      <rPr>
        <rFont val="Arial"/>
        <b val="0"/>
        <i/>
        <color rgb="FF000000"/>
        <sz val="11.0"/>
      </rPr>
      <t xml:space="preserve"> (Relacione abaixo as atividades que serão desenvolvidas no semestre, com o grupo de alunos, para cada ação de extensão relacionada com o componente curricular)</t>
    </r>
  </si>
  <si>
    <r>
      <rPr>
        <rFont val="Arial"/>
        <b/>
        <color rgb="FF000000"/>
        <sz val="10.0"/>
      </rPr>
      <t xml:space="preserve">Título da Ação de Extensão
</t>
    </r>
    <r>
      <rPr>
        <rFont val="Arial"/>
        <b val="0"/>
        <i/>
        <color rgb="FF000000"/>
        <sz val="9.0"/>
      </rPr>
      <t>(Liste abaixo as modalidades e os títulos das ações de extensão que se integram com o componente curricular).</t>
    </r>
  </si>
  <si>
    <t xml:space="preserve">Nome do Coordenador/a da Ação de Extensão </t>
  </si>
  <si>
    <r>
      <rPr>
        <rFont val="Arial"/>
        <b/>
        <color rgb="FF000000"/>
        <sz val="11.0"/>
      </rPr>
      <t xml:space="preserve">Atividades curriculares de extensão 
</t>
    </r>
    <r>
      <rPr>
        <rFont val="Arial"/>
        <b val="0"/>
        <i/>
        <color rgb="FF000000"/>
        <sz val="9.0"/>
      </rPr>
      <t xml:space="preserve">(Liste abaixo as atividades que os estudantes realizarão no âmbito de cada ação de extensão que se integra com o componente curricular). </t>
    </r>
  </si>
  <si>
    <r>
      <rPr>
        <rFont val="Arial"/>
        <b/>
        <color rgb="FF000000"/>
        <sz val="11.0"/>
      </rPr>
      <t xml:space="preserve">Número de estudantes 
</t>
    </r>
    <r>
      <rPr>
        <rFont val="Arial"/>
        <b val="0"/>
        <i/>
        <color rgb="FF000000"/>
        <sz val="9.0"/>
      </rPr>
      <t>(Cursando o componente curricular e envolvidos em cada ação de extensão).</t>
    </r>
  </si>
  <si>
    <t>ANEXO II - ATIVIDADES A DISTÂNCIA</t>
  </si>
  <si>
    <t>Carga horária a distância</t>
  </si>
  <si>
    <t>Conteúdo/Atividade Avaliativa</t>
  </si>
  <si>
    <t>Carga horária</t>
  </si>
  <si>
    <t>Atividade/Recurso do Moodle</t>
  </si>
  <si>
    <t>%</t>
  </si>
  <si>
    <t>Elaboração de relatório de gestão de caixa de 4 empresas</t>
  </si>
  <si>
    <t>Entrega via Moodle conforme estabelecido para realização do trabalho.</t>
  </si>
  <si>
    <t>Análise Dupont de 5 empresas listadas na B3</t>
  </si>
  <si>
    <t>Projeto de um APP que forneça informações sobre Análise Fleuriet e DuPont</t>
  </si>
  <si>
    <t>% Percentual de Conteúdo em função da Carga Horária a distância</t>
  </si>
  <si>
    <t xml:space="preserve">ANEXO III - USO DE ANIMAIS </t>
  </si>
  <si>
    <t>Componente curricular que faz uso de animais deve descrever neste item como será realizado o uso no contexto do componente curricular. O preenchimento deste item deve observar a Resolução Consup nº 3/2019 e suas atualizações, bem como as orientações contidas no site: https://ifes.edu.br/conselhos-comissoes/comissao-de-etica-em-uso-de-animais?start=1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</si>
</sst>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M"/>
    <numFmt numFmtId="165" formatCode="d, m, yyyy"/>
    <numFmt numFmtId="166" formatCode="d mmmm"/>
    <numFmt numFmtId="167" formatCode="d,m,yyyy"/>
    <numFmt numFmtId="168" formatCode="0.0000%"/>
  </numFmts>
  <fonts count="17">
    <font>
      <sz val="11.0"/>
      <color rgb="FF000000"/>
      <name val="Calibri"/>
      <scheme val="minor"/>
    </font>
    <font>
      <b/>
      <sz val="12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sz val="11.0"/>
      <color rgb="FF000514"/>
      <name val="Arial"/>
    </font>
    <font>
      <sz val="11.0"/>
      <color rgb="FF000000"/>
      <name val="Calibri"/>
    </font>
    <font>
      <color rgb="FF000000"/>
      <name val="Arial"/>
    </font>
    <font>
      <color theme="1"/>
      <name val="Calibri"/>
      <scheme val="minor"/>
    </font>
    <font>
      <i/>
      <sz val="11.0"/>
      <color rgb="FFFF0000"/>
      <name val="Arial"/>
    </font>
    <font>
      <b/>
      <sz val="10.0"/>
      <color rgb="FF000000"/>
      <name val="Arial"/>
    </font>
    <font>
      <b/>
      <color rgb="FF000000"/>
      <name val="Arial"/>
    </font>
    <font>
      <color rgb="FF000000"/>
      <name val="Calibri"/>
      <scheme val="minor"/>
    </font>
    <font>
      <b/>
      <sz val="11.0"/>
      <color rgb="FF000000"/>
      <name val="Calibri"/>
    </font>
    <font>
      <i/>
      <sz val="12.0"/>
      <color rgb="FF000000"/>
      <name val="Arial"/>
    </font>
    <font>
      <i/>
      <u/>
      <sz val="11.0"/>
      <color rgb="FFFF0000"/>
      <name val="Calibri"/>
    </font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right/>
    </border>
    <border>
      <right/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shrinkToFit="0" vertical="center" wrapText="0"/>
    </xf>
    <xf borderId="10" fillId="0" fontId="4" numFmtId="0" xfId="0" applyAlignment="1" applyBorder="1" applyFont="1">
      <alignment horizontal="left" shrinkToFit="0" vertical="bottom" wrapText="0"/>
    </xf>
    <xf borderId="11" fillId="0" fontId="2" numFmtId="0" xfId="0" applyBorder="1" applyFont="1"/>
    <xf borderId="12" fillId="0" fontId="2" numFmtId="0" xfId="0" applyBorder="1" applyFont="1"/>
    <xf borderId="10" fillId="0" fontId="4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horizontal="center" shrinkToFit="0" vertical="bottom" wrapText="0"/>
    </xf>
    <xf borderId="12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3" fillId="3" fontId="3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horizontal="left" shrinkToFit="0" vertical="bottom" wrapText="0"/>
    </xf>
    <xf borderId="10" fillId="0" fontId="5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readingOrder="0" shrinkToFit="0" vertical="bottom" wrapText="0"/>
    </xf>
    <xf borderId="14" fillId="3" fontId="3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2" fontId="4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19" fillId="0" fontId="2" numFmtId="0" xfId="0" applyBorder="1" applyFont="1"/>
    <xf borderId="10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0"/>
    </xf>
    <xf borderId="10" fillId="4" fontId="3" numFmtId="0" xfId="0" applyAlignment="1" applyBorder="1" applyFill="1" applyFont="1">
      <alignment horizontal="center" shrinkToFit="0" vertical="center" wrapText="0"/>
    </xf>
    <xf borderId="10" fillId="3" fontId="3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shrinkToFit="0" vertical="bottom" wrapText="1"/>
    </xf>
    <xf borderId="10" fillId="0" fontId="7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left" shrinkToFit="0" vertical="bottom" wrapText="1"/>
    </xf>
    <xf borderId="10" fillId="0" fontId="8" numFmtId="0" xfId="0" applyAlignment="1" applyBorder="1" applyFont="1">
      <alignment horizontal="center"/>
    </xf>
    <xf borderId="10" fillId="3" fontId="3" numFmtId="0" xfId="0" applyAlignment="1" applyBorder="1" applyFont="1">
      <alignment horizontal="right" shrinkToFit="0" vertical="center" wrapText="0"/>
    </xf>
    <xf borderId="10" fillId="4" fontId="4" numFmtId="0" xfId="0" applyAlignment="1" applyBorder="1" applyFont="1">
      <alignment horizontal="center" shrinkToFit="0" vertical="center" wrapText="0"/>
    </xf>
    <xf borderId="10" fillId="0" fontId="9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horizontal="center" shrinkToFit="0" vertical="center" wrapText="0"/>
    </xf>
    <xf borderId="10" fillId="0" fontId="10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9" fillId="0" fontId="11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readingOrder="0" vertical="bottom"/>
    </xf>
    <xf borderId="10" fillId="0" fontId="11" numFmtId="164" xfId="0" applyAlignment="1" applyBorder="1" applyFont="1" applyNumberFormat="1">
      <alignment horizontal="center" readingOrder="0" vertical="bottom"/>
    </xf>
    <xf borderId="10" fillId="0" fontId="12" numFmtId="165" xfId="0" applyAlignment="1" applyBorder="1" applyFont="1" applyNumberFormat="1">
      <alignment horizontal="center" readingOrder="0" vertical="bottom"/>
    </xf>
    <xf borderId="10" fillId="0" fontId="11" numFmtId="0" xfId="0" applyAlignment="1" applyBorder="1" applyFont="1">
      <alignment horizontal="center" readingOrder="0"/>
    </xf>
    <xf borderId="10" fillId="0" fontId="11" numFmtId="164" xfId="0" applyAlignment="1" applyBorder="1" applyFont="1" applyNumberFormat="1">
      <alignment horizontal="center" readingOrder="0"/>
    </xf>
    <xf borderId="10" fillId="0" fontId="12" numFmtId="0" xfId="0" applyAlignment="1" applyBorder="1" applyFont="1">
      <alignment horizontal="center" readingOrder="0" vertical="bottom"/>
    </xf>
    <xf borderId="10" fillId="0" fontId="11" numFmtId="166" xfId="0" applyAlignment="1" applyBorder="1" applyFont="1" applyNumberFormat="1">
      <alignment horizontal="center" readingOrder="0" vertical="bottom"/>
    </xf>
    <xf borderId="10" fillId="0" fontId="11" numFmtId="167" xfId="0" applyAlignment="1" applyBorder="1" applyFont="1" applyNumberFormat="1">
      <alignment horizontal="center" readingOrder="0" vertical="bottom"/>
    </xf>
    <xf borderId="10" fillId="3" fontId="3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readingOrder="0" shrinkToFit="0" vertical="center" wrapText="1"/>
    </xf>
    <xf borderId="10" fillId="3" fontId="3" numFmtId="0" xfId="0" applyAlignment="1" applyBorder="1" applyFont="1">
      <alignment horizontal="right" readingOrder="0" shrinkToFit="0" vertical="center" wrapText="1"/>
    </xf>
    <xf borderId="11" fillId="3" fontId="3" numFmtId="0" xfId="0" applyAlignment="1" applyBorder="1" applyFont="1">
      <alignment horizontal="right" shrinkToFit="0" vertical="center" wrapText="1"/>
    </xf>
    <xf borderId="12" fillId="3" fontId="3" numFmtId="0" xfId="0" applyAlignment="1" applyBorder="1" applyFont="1">
      <alignment horizontal="right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2" fillId="5" fontId="3" numFmtId="0" xfId="0" applyAlignment="1" applyBorder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6" fillId="5" fontId="3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2" fontId="6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14" fillId="3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horizontal="left" shrinkToFit="0" vertical="bottom" wrapText="0"/>
    </xf>
    <xf borderId="23" fillId="2" fontId="1" numFmtId="0" xfId="0" applyAlignment="1" applyBorder="1" applyFont="1">
      <alignment horizontal="left" shrinkToFit="0" vertical="bottom" wrapText="0"/>
    </xf>
    <xf borderId="9" fillId="2" fontId="1" numFmtId="0" xfId="0" applyAlignment="1" applyBorder="1" applyFont="1">
      <alignment horizontal="center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6" fillId="2" fontId="1" numFmtId="0" xfId="0" applyAlignment="1" applyBorder="1" applyFont="1">
      <alignment horizontal="center" shrinkToFit="0" vertical="center" wrapText="0"/>
    </xf>
    <xf borderId="23" fillId="2" fontId="1" numFmtId="0" xfId="0" applyAlignment="1" applyBorder="1" applyFont="1">
      <alignment horizontal="center" shrinkToFit="0" vertical="center" wrapText="0"/>
    </xf>
    <xf borderId="24" fillId="2" fontId="1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 readingOrder="0" shrinkToFit="0" vertical="center" wrapText="0"/>
    </xf>
    <xf borderId="10" fillId="2" fontId="1" numFmtId="0" xfId="0" applyAlignment="1" applyBorder="1" applyFont="1">
      <alignment horizontal="center" readingOrder="0" shrinkToFit="0" vertical="center" wrapText="1"/>
    </xf>
    <xf borderId="9" fillId="0" fontId="8" numFmtId="168" xfId="0" applyBorder="1" applyFont="1" applyNumberFormat="1"/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23" fillId="2" fontId="6" numFmtId="9" xfId="0" applyAlignment="1" applyBorder="1" applyFont="1" applyNumberFormat="1">
      <alignment shrinkToFit="0" vertical="bottom" wrapText="0"/>
    </xf>
    <xf borderId="25" fillId="2" fontId="1" numFmtId="0" xfId="0" applyAlignment="1" applyBorder="1" applyFont="1">
      <alignment horizontal="center" readingOrder="0" shrinkToFit="0" vertical="center" wrapText="1"/>
    </xf>
    <xf borderId="0" fillId="0" fontId="8" numFmtId="168" xfId="0" applyFont="1" applyNumberFormat="1"/>
    <xf borderId="9" fillId="0" fontId="3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shrinkToFit="0" vertical="bottom" wrapText="0"/>
    </xf>
    <xf borderId="23" fillId="2" fontId="14" numFmtId="0" xfId="0" applyAlignment="1" applyBorder="1" applyFont="1">
      <alignment shrinkToFit="0" vertical="bottom" wrapText="0"/>
    </xf>
    <xf borderId="10" fillId="5" fontId="3" numFmtId="0" xfId="0" applyAlignment="1" applyBorder="1" applyFont="1">
      <alignment horizontal="center" shrinkToFit="0" vertical="bottom" wrapText="1"/>
    </xf>
    <xf borderId="23" fillId="2" fontId="1" numFmtId="0" xfId="0" applyAlignment="1" applyBorder="1" applyFont="1">
      <alignment horizontal="center" shrinkToFit="0" vertical="bottom" wrapText="0"/>
    </xf>
    <xf borderId="1" fillId="0" fontId="15" numFmtId="0" xfId="0" applyAlignment="1" applyBorder="1" applyFont="1">
      <alignment horizontal="left" shrinkToFit="0" vertical="center" wrapText="1"/>
    </xf>
    <xf borderId="23" fillId="2" fontId="16" numFmtId="0" xfId="0" applyAlignment="1" applyBorder="1" applyFont="1">
      <alignment shrinkToFit="0" vertical="center" wrapText="0"/>
    </xf>
  </cellXfs>
  <cellStyles count="1">
    <cellStyle xfId="0" name="Normal" builtinId="0"/>
  </cellStyles>
  <dxfs count="1">
    <dxf>
      <font>
        <color rgb="FF000000"/>
        <name val="Calibri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76200</xdr:rowOff>
    </xdr:from>
    <xdr:ext cx="1800225" cy="781050"/>
    <xdr:pic>
      <xdr:nvPicPr>
        <xdr:cNvPr descr="Marca_Ifes_Colatina_colorida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fes.edu.br/conselhos-comissoes/comissao-de-etica-em-uso-de-animais?start=1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5.57"/>
    <col customWidth="1" min="3" max="3" width="11.86"/>
    <col customWidth="1" min="4" max="4" width="8.14"/>
    <col customWidth="1" min="5" max="5" width="29.0"/>
    <col customWidth="1" min="6" max="6" width="12.0"/>
    <col customWidth="1" min="7" max="7" width="8.71"/>
    <col customWidth="1" min="8" max="8" width="4.86"/>
    <col customWidth="1" min="9" max="9" width="8.0"/>
    <col customWidth="1" min="10" max="10" width="5.0"/>
    <col customWidth="1" min="11" max="11" width="10.86"/>
    <col customWidth="1" min="12" max="12" width="7.14"/>
    <col customWidth="1" min="13" max="13" width="6.43"/>
    <col customWidth="1" min="14" max="14" width="8.0"/>
    <col customWidth="1" min="15" max="16" width="5.0"/>
    <col customWidth="1" min="17" max="17" width="8.0"/>
    <col customWidth="1" min="18" max="18" width="18.29"/>
    <col customWidth="1" min="19" max="19" width="11.0"/>
    <col customWidth="1" min="20" max="20" width="8.0"/>
    <col customWidth="1" min="21" max="21" width="10.29"/>
    <col customWidth="1" min="22" max="22" width="11.0"/>
    <col customWidth="1" min="23" max="28" width="8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/>
      <c r="K2" s="5"/>
    </row>
    <row r="3" ht="15.75" customHeight="1">
      <c r="A3" s="4"/>
      <c r="K3" s="5"/>
    </row>
    <row r="4" ht="26.2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8"/>
    </row>
    <row r="5">
      <c r="A5" s="9" t="s">
        <v>1</v>
      </c>
      <c r="B5" s="10" t="s">
        <v>2</v>
      </c>
      <c r="C5" s="11"/>
      <c r="D5" s="11"/>
      <c r="E5" s="11"/>
      <c r="F5" s="11"/>
      <c r="G5" s="11"/>
      <c r="H5" s="11"/>
      <c r="I5" s="11"/>
      <c r="J5" s="11"/>
      <c r="K5" s="12"/>
    </row>
    <row r="6">
      <c r="A6" s="9" t="s">
        <v>3</v>
      </c>
      <c r="B6" s="13" t="s">
        <v>4</v>
      </c>
      <c r="C6" s="11"/>
      <c r="D6" s="11"/>
      <c r="E6" s="11"/>
      <c r="F6" s="11"/>
      <c r="G6" s="11"/>
      <c r="H6" s="11"/>
      <c r="I6" s="11"/>
      <c r="J6" s="11"/>
      <c r="K6" s="12"/>
    </row>
    <row r="7">
      <c r="A7" s="9" t="s">
        <v>5</v>
      </c>
      <c r="B7" s="13" t="s">
        <v>6</v>
      </c>
      <c r="C7" s="11"/>
      <c r="D7" s="11"/>
      <c r="E7" s="11"/>
      <c r="F7" s="11"/>
      <c r="G7" s="11"/>
      <c r="H7" s="11"/>
      <c r="I7" s="11"/>
      <c r="J7" s="11"/>
      <c r="K7" s="12"/>
    </row>
    <row r="8">
      <c r="A8" s="9" t="s">
        <v>7</v>
      </c>
      <c r="B8" s="14" t="s">
        <v>8</v>
      </c>
      <c r="C8" s="12"/>
      <c r="D8" s="15" t="s">
        <v>9</v>
      </c>
      <c r="E8" s="12"/>
      <c r="F8" s="16" t="s">
        <v>10</v>
      </c>
      <c r="G8" s="15" t="s">
        <v>11</v>
      </c>
      <c r="H8" s="12"/>
      <c r="I8" s="16" t="s">
        <v>12</v>
      </c>
      <c r="J8" s="15" t="s">
        <v>13</v>
      </c>
      <c r="K8" s="12"/>
      <c r="M8" s="17"/>
      <c r="P8" s="17"/>
      <c r="Q8" s="17"/>
    </row>
    <row r="9">
      <c r="A9" s="18" t="s">
        <v>14</v>
      </c>
      <c r="B9" s="19" t="s">
        <v>15</v>
      </c>
      <c r="C9" s="12"/>
      <c r="D9" s="20" t="s">
        <v>9</v>
      </c>
      <c r="E9" s="12"/>
      <c r="F9" s="19" t="s">
        <v>16</v>
      </c>
      <c r="G9" s="20" t="s">
        <v>17</v>
      </c>
      <c r="H9" s="11"/>
      <c r="I9" s="11"/>
      <c r="J9" s="11"/>
      <c r="K9" s="12"/>
      <c r="M9" s="17"/>
      <c r="P9" s="17"/>
      <c r="Q9" s="17"/>
      <c r="R9" s="17"/>
      <c r="S9" s="17"/>
      <c r="T9" s="17"/>
      <c r="U9" s="17"/>
      <c r="V9" s="17"/>
      <c r="W9" s="17"/>
    </row>
    <row r="10">
      <c r="A10" s="18" t="s">
        <v>18</v>
      </c>
      <c r="B10" s="10" t="s">
        <v>19</v>
      </c>
      <c r="C10" s="12"/>
      <c r="D10" s="21">
        <v>0.0</v>
      </c>
      <c r="E10" s="12"/>
      <c r="F10" s="10" t="s">
        <v>20</v>
      </c>
      <c r="G10" s="21">
        <v>0.0</v>
      </c>
      <c r="H10" s="11"/>
      <c r="I10" s="11"/>
      <c r="J10" s="11"/>
      <c r="K10" s="12"/>
      <c r="M10" s="17"/>
      <c r="P10" s="17"/>
      <c r="Q10" s="17"/>
      <c r="R10" s="17"/>
      <c r="S10" s="17"/>
      <c r="T10" s="17"/>
      <c r="U10" s="17"/>
      <c r="V10" s="17"/>
      <c r="W10" s="17"/>
    </row>
    <row r="11">
      <c r="A11" s="9" t="s">
        <v>21</v>
      </c>
      <c r="B11" s="13" t="s">
        <v>22</v>
      </c>
      <c r="C11" s="11"/>
      <c r="D11" s="11"/>
      <c r="E11" s="11"/>
      <c r="F11" s="11"/>
      <c r="G11" s="11"/>
      <c r="H11" s="11"/>
      <c r="I11" s="11"/>
      <c r="J11" s="11"/>
      <c r="K11" s="12"/>
      <c r="M11" s="17"/>
      <c r="P11" s="17"/>
      <c r="Q11" s="17"/>
      <c r="R11" s="17"/>
      <c r="S11" s="17"/>
      <c r="T11" s="17"/>
      <c r="U11" s="17"/>
      <c r="V11" s="17"/>
      <c r="W11" s="17"/>
    </row>
    <row r="12">
      <c r="A12" s="9" t="s">
        <v>23</v>
      </c>
      <c r="B12" s="13" t="s">
        <v>24</v>
      </c>
      <c r="C12" s="11"/>
      <c r="D12" s="11"/>
      <c r="E12" s="11"/>
      <c r="F12" s="11"/>
      <c r="G12" s="11"/>
      <c r="H12" s="11"/>
      <c r="I12" s="11"/>
      <c r="J12" s="11"/>
      <c r="K12" s="12"/>
    </row>
    <row r="13">
      <c r="A13" s="9" t="s">
        <v>25</v>
      </c>
      <c r="B13" s="13" t="s">
        <v>26</v>
      </c>
      <c r="C13" s="11"/>
      <c r="D13" s="11"/>
      <c r="E13" s="11"/>
      <c r="F13" s="11"/>
      <c r="G13" s="11"/>
      <c r="H13" s="11"/>
      <c r="I13" s="11"/>
      <c r="J13" s="11"/>
      <c r="K13" s="12"/>
    </row>
    <row r="14" ht="20.25" customHeight="1">
      <c r="A14" s="9" t="s">
        <v>27</v>
      </c>
      <c r="B14" s="22" t="s">
        <v>28</v>
      </c>
      <c r="C14" s="11"/>
      <c r="D14" s="11"/>
      <c r="E14" s="11"/>
      <c r="F14" s="11"/>
      <c r="G14" s="11"/>
      <c r="H14" s="11"/>
      <c r="I14" s="11"/>
      <c r="J14" s="11"/>
      <c r="K14" s="12"/>
    </row>
    <row r="15">
      <c r="A15" s="9" t="s">
        <v>29</v>
      </c>
      <c r="B15" s="13" t="s">
        <v>30</v>
      </c>
      <c r="C15" s="11"/>
      <c r="D15" s="11"/>
      <c r="E15" s="11"/>
      <c r="F15" s="11"/>
      <c r="G15" s="11"/>
      <c r="H15" s="11"/>
      <c r="I15" s="11"/>
      <c r="J15" s="11"/>
      <c r="K15" s="12"/>
    </row>
    <row r="16" ht="15.0" customHeight="1">
      <c r="A16" s="23" t="s">
        <v>31</v>
      </c>
      <c r="B16" s="24"/>
      <c r="C16" s="24"/>
      <c r="D16" s="24"/>
      <c r="E16" s="24"/>
      <c r="F16" s="24"/>
      <c r="G16" s="24"/>
      <c r="H16" s="24"/>
      <c r="I16" s="24"/>
      <c r="J16" s="24"/>
      <c r="K16" s="25"/>
    </row>
    <row r="17" ht="78.0" customHeight="1">
      <c r="A17" s="26" t="s">
        <v>32</v>
      </c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ht="15.0" customHeight="1">
      <c r="A18" s="29" t="s">
        <v>33</v>
      </c>
      <c r="B18" s="11"/>
      <c r="C18" s="11"/>
      <c r="D18" s="11"/>
      <c r="E18" s="11"/>
      <c r="F18" s="11"/>
      <c r="G18" s="11"/>
      <c r="H18" s="11"/>
      <c r="I18" s="11"/>
      <c r="J18" s="11"/>
      <c r="K18" s="12"/>
    </row>
    <row r="19" ht="42.0" customHeight="1">
      <c r="A19" s="26" t="s">
        <v>34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ht="15.75" customHeight="1">
      <c r="A20" s="29" t="s">
        <v>35</v>
      </c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ht="114.0" customHeight="1">
      <c r="A21" s="26" t="s">
        <v>36</v>
      </c>
      <c r="B21" s="27"/>
      <c r="C21" s="27"/>
      <c r="D21" s="27"/>
      <c r="E21" s="27"/>
      <c r="F21" s="27"/>
      <c r="G21" s="27"/>
      <c r="H21" s="27"/>
      <c r="I21" s="27"/>
      <c r="J21" s="27"/>
      <c r="K21" s="28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75" customHeight="1">
      <c r="A22" s="30" t="s">
        <v>37</v>
      </c>
      <c r="B22" s="2"/>
      <c r="C22" s="2"/>
      <c r="D22" s="2"/>
      <c r="E22" s="2"/>
      <c r="F22" s="2"/>
      <c r="G22" s="3"/>
      <c r="H22" s="31" t="s">
        <v>38</v>
      </c>
      <c r="I22" s="11"/>
      <c r="J22" s="11"/>
      <c r="K22" s="12"/>
    </row>
    <row r="23" ht="15.75" customHeight="1">
      <c r="A23" s="6"/>
      <c r="B23" s="7"/>
      <c r="C23" s="7"/>
      <c r="D23" s="7"/>
      <c r="E23" s="7"/>
      <c r="F23" s="7"/>
      <c r="G23" s="8"/>
      <c r="H23" s="32" t="s">
        <v>39</v>
      </c>
      <c r="I23" s="12"/>
      <c r="J23" s="32" t="s">
        <v>40</v>
      </c>
      <c r="K23" s="12"/>
    </row>
    <row r="24" ht="36.75" customHeight="1">
      <c r="A24" s="33" t="s">
        <v>41</v>
      </c>
      <c r="B24" s="11"/>
      <c r="C24" s="11"/>
      <c r="D24" s="11"/>
      <c r="E24" s="11"/>
      <c r="F24" s="11"/>
      <c r="G24" s="12"/>
      <c r="H24" s="34">
        <v>10.0</v>
      </c>
      <c r="I24" s="12"/>
      <c r="J24" s="34">
        <v>4.0</v>
      </c>
      <c r="K24" s="12"/>
    </row>
    <row r="25" ht="21.75" customHeight="1">
      <c r="A25" s="33" t="s">
        <v>42</v>
      </c>
      <c r="B25" s="11"/>
      <c r="C25" s="11"/>
      <c r="D25" s="11"/>
      <c r="E25" s="11"/>
      <c r="F25" s="11"/>
      <c r="G25" s="12"/>
      <c r="H25" s="34">
        <v>7.0</v>
      </c>
      <c r="I25" s="12"/>
      <c r="J25" s="34">
        <v>4.0</v>
      </c>
      <c r="K25" s="12"/>
    </row>
    <row r="26" ht="21.75" customHeight="1">
      <c r="A26" s="33" t="s">
        <v>43</v>
      </c>
      <c r="B26" s="11"/>
      <c r="C26" s="11"/>
      <c r="D26" s="11"/>
      <c r="E26" s="11"/>
      <c r="F26" s="11"/>
      <c r="G26" s="12"/>
      <c r="H26" s="34">
        <v>7.0</v>
      </c>
      <c r="I26" s="12"/>
      <c r="J26" s="34">
        <v>4.0</v>
      </c>
      <c r="K26" s="12"/>
    </row>
    <row r="27" ht="71.25" customHeight="1">
      <c r="A27" s="35" t="s">
        <v>44</v>
      </c>
      <c r="B27" s="11"/>
      <c r="C27" s="11"/>
      <c r="D27" s="11"/>
      <c r="E27" s="11"/>
      <c r="F27" s="11"/>
      <c r="G27" s="12"/>
      <c r="H27" s="34">
        <v>12.0</v>
      </c>
      <c r="I27" s="12"/>
      <c r="J27" s="34">
        <v>8.0</v>
      </c>
      <c r="K27" s="12"/>
    </row>
    <row r="28" ht="73.5" customHeight="1">
      <c r="A28" s="33" t="s">
        <v>45</v>
      </c>
      <c r="B28" s="11"/>
      <c r="C28" s="11"/>
      <c r="D28" s="11"/>
      <c r="E28" s="11"/>
      <c r="F28" s="11"/>
      <c r="G28" s="12"/>
      <c r="H28" s="34">
        <v>11.0</v>
      </c>
      <c r="I28" s="12"/>
      <c r="J28" s="34">
        <v>5.0</v>
      </c>
      <c r="K28" s="12"/>
    </row>
    <row r="29" ht="33.0" customHeight="1">
      <c r="A29" s="13"/>
      <c r="B29" s="11"/>
      <c r="C29" s="11"/>
      <c r="D29" s="11"/>
      <c r="E29" s="11"/>
      <c r="F29" s="11"/>
      <c r="G29" s="12"/>
      <c r="H29" s="36"/>
      <c r="I29" s="12"/>
      <c r="J29" s="36"/>
      <c r="K29" s="12"/>
    </row>
    <row r="30" ht="15.75" customHeight="1">
      <c r="A30" s="37" t="s">
        <v>46</v>
      </c>
      <c r="B30" s="11"/>
      <c r="C30" s="11"/>
      <c r="D30" s="11"/>
      <c r="E30" s="11"/>
      <c r="F30" s="11"/>
      <c r="G30" s="12"/>
      <c r="H30" s="38">
        <f>SUM(H24:I29)</f>
        <v>47</v>
      </c>
      <c r="I30" s="12"/>
      <c r="J30" s="38">
        <f>SUM(J24:K29)</f>
        <v>25</v>
      </c>
      <c r="K30" s="12"/>
    </row>
    <row r="31" ht="15.75" customHeight="1">
      <c r="A31" s="29" t="s">
        <v>47</v>
      </c>
      <c r="B31" s="11"/>
      <c r="C31" s="11"/>
      <c r="D31" s="11"/>
      <c r="E31" s="11"/>
      <c r="F31" s="11"/>
      <c r="G31" s="11"/>
      <c r="H31" s="11"/>
      <c r="I31" s="11"/>
      <c r="J31" s="11"/>
      <c r="K31" s="12"/>
    </row>
    <row r="32" ht="39.0" customHeight="1">
      <c r="A32" s="39"/>
      <c r="B32" s="11"/>
      <c r="C32" s="11"/>
      <c r="D32" s="11"/>
      <c r="E32" s="11"/>
      <c r="F32" s="11"/>
      <c r="G32" s="11"/>
      <c r="H32" s="11"/>
      <c r="I32" s="11"/>
      <c r="J32" s="11"/>
      <c r="K32" s="12"/>
    </row>
    <row r="33" ht="15.75" customHeight="1">
      <c r="A33" s="29" t="s">
        <v>48</v>
      </c>
      <c r="B33" s="11"/>
      <c r="C33" s="11"/>
      <c r="D33" s="11"/>
      <c r="E33" s="11"/>
      <c r="F33" s="11"/>
      <c r="G33" s="11"/>
      <c r="H33" s="11"/>
      <c r="I33" s="11"/>
      <c r="J33" s="11"/>
      <c r="K33" s="12"/>
    </row>
    <row r="34" ht="63.0" customHeight="1">
      <c r="A34" s="33" t="s">
        <v>49</v>
      </c>
      <c r="B34" s="11"/>
      <c r="C34" s="11"/>
      <c r="D34" s="11"/>
      <c r="E34" s="11"/>
      <c r="F34" s="11"/>
      <c r="G34" s="11"/>
      <c r="H34" s="11"/>
      <c r="I34" s="11"/>
      <c r="J34" s="11"/>
      <c r="K34" s="12"/>
    </row>
    <row r="35" ht="15.75" customHeight="1">
      <c r="A35" s="29" t="s">
        <v>50</v>
      </c>
      <c r="B35" s="11"/>
      <c r="C35" s="11"/>
      <c r="D35" s="11"/>
      <c r="E35" s="11"/>
      <c r="F35" s="11"/>
      <c r="G35" s="11"/>
      <c r="H35" s="11"/>
      <c r="I35" s="11"/>
      <c r="J35" s="11"/>
      <c r="K35" s="12"/>
    </row>
    <row r="36" ht="15.75" customHeight="1">
      <c r="A36" s="40"/>
      <c r="B36" s="41" t="s">
        <v>51</v>
      </c>
      <c r="C36" s="11"/>
      <c r="D36" s="11"/>
      <c r="E36" s="12"/>
      <c r="F36" s="41" t="s">
        <v>52</v>
      </c>
      <c r="G36" s="12"/>
      <c r="H36" s="41" t="s">
        <v>53</v>
      </c>
      <c r="I36" s="11"/>
      <c r="J36" s="11"/>
      <c r="K36" s="12"/>
      <c r="L36" s="42"/>
    </row>
    <row r="37" ht="15.75" customHeight="1">
      <c r="A37" s="43" t="s">
        <v>54</v>
      </c>
      <c r="B37" s="44">
        <v>1.0</v>
      </c>
      <c r="C37" s="11"/>
      <c r="D37" s="11"/>
      <c r="E37" s="12"/>
      <c r="F37" s="44" t="s">
        <v>55</v>
      </c>
      <c r="G37" s="12"/>
      <c r="H37" s="45">
        <v>46106.0</v>
      </c>
      <c r="I37" s="11"/>
      <c r="J37" s="11"/>
      <c r="K37" s="12"/>
    </row>
    <row r="38" ht="15.75" customHeight="1">
      <c r="A38" s="43" t="s">
        <v>56</v>
      </c>
      <c r="B38" s="44">
        <v>1.0</v>
      </c>
      <c r="C38" s="11"/>
      <c r="D38" s="11"/>
      <c r="E38" s="12"/>
      <c r="F38" s="44" t="s">
        <v>55</v>
      </c>
      <c r="G38" s="12"/>
      <c r="H38" s="45">
        <v>46107.0</v>
      </c>
      <c r="I38" s="11"/>
      <c r="J38" s="11"/>
      <c r="K38" s="12"/>
    </row>
    <row r="39" ht="15.75" customHeight="1">
      <c r="A39" s="43" t="s">
        <v>57</v>
      </c>
      <c r="B39" s="46">
        <v>37653.0</v>
      </c>
      <c r="C39" s="11"/>
      <c r="D39" s="11"/>
      <c r="E39" s="12"/>
      <c r="F39" s="47" t="s">
        <v>58</v>
      </c>
      <c r="G39" s="11"/>
      <c r="H39" s="48">
        <v>46139.0</v>
      </c>
      <c r="I39" s="11"/>
      <c r="J39" s="11"/>
      <c r="K39" s="12"/>
    </row>
    <row r="40" ht="15.75" customHeight="1">
      <c r="A40" s="43" t="s">
        <v>59</v>
      </c>
      <c r="B40" s="49">
        <v>4.0</v>
      </c>
      <c r="C40" s="11"/>
      <c r="D40" s="11"/>
      <c r="E40" s="12"/>
      <c r="F40" s="47" t="s">
        <v>58</v>
      </c>
      <c r="G40" s="11"/>
      <c r="H40" s="48">
        <v>46163.0</v>
      </c>
      <c r="I40" s="11"/>
      <c r="J40" s="11"/>
      <c r="K40" s="12"/>
    </row>
    <row r="41" ht="15.75" customHeight="1">
      <c r="A41" s="43" t="s">
        <v>60</v>
      </c>
      <c r="B41" s="44">
        <v>5.0</v>
      </c>
      <c r="C41" s="11"/>
      <c r="D41" s="11"/>
      <c r="E41" s="12"/>
      <c r="F41" s="44" t="s">
        <v>58</v>
      </c>
      <c r="G41" s="12"/>
      <c r="H41" s="50">
        <v>46196.0</v>
      </c>
      <c r="I41" s="11"/>
      <c r="J41" s="11"/>
      <c r="K41" s="12"/>
    </row>
    <row r="42" ht="15.75" customHeight="1">
      <c r="A42" s="43" t="s">
        <v>61</v>
      </c>
      <c r="B42" s="51">
        <v>38048.0</v>
      </c>
      <c r="C42" s="11"/>
      <c r="D42" s="11"/>
      <c r="E42" s="12"/>
      <c r="F42" s="44" t="s">
        <v>58</v>
      </c>
      <c r="G42" s="12"/>
      <c r="H42" s="45">
        <v>46205.0</v>
      </c>
      <c r="I42" s="11"/>
      <c r="J42" s="11"/>
      <c r="K42" s="12"/>
    </row>
    <row r="43" ht="34.5" customHeight="1">
      <c r="A43" s="29" t="s">
        <v>62</v>
      </c>
      <c r="B43" s="11"/>
      <c r="C43" s="11"/>
      <c r="D43" s="11"/>
      <c r="E43" s="11"/>
      <c r="F43" s="11"/>
      <c r="G43" s="11"/>
      <c r="H43" s="11"/>
      <c r="I43" s="11"/>
      <c r="J43" s="11"/>
      <c r="K43" s="12"/>
    </row>
    <row r="44" ht="28.5" customHeight="1">
      <c r="A44" s="39"/>
      <c r="B44" s="11"/>
      <c r="C44" s="11"/>
      <c r="D44" s="11"/>
      <c r="E44" s="11"/>
      <c r="F44" s="11"/>
      <c r="G44" s="11"/>
      <c r="H44" s="11"/>
      <c r="I44" s="11"/>
      <c r="J44" s="11"/>
      <c r="K44" s="12"/>
    </row>
    <row r="45" ht="15.75" customHeight="1">
      <c r="A45" s="52" t="s">
        <v>63</v>
      </c>
      <c r="B45" s="11"/>
      <c r="C45" s="11"/>
      <c r="D45" s="11"/>
      <c r="E45" s="11"/>
      <c r="F45" s="11"/>
      <c r="G45" s="11"/>
      <c r="H45" s="11"/>
      <c r="I45" s="11"/>
      <c r="J45" s="11"/>
      <c r="K45" s="12"/>
    </row>
    <row r="46" ht="62.25" customHeight="1">
      <c r="A46" s="39" t="s">
        <v>64</v>
      </c>
      <c r="B46" s="11"/>
      <c r="C46" s="11"/>
      <c r="D46" s="11"/>
      <c r="E46" s="11"/>
      <c r="F46" s="11"/>
      <c r="G46" s="11"/>
      <c r="H46" s="11"/>
      <c r="I46" s="11"/>
      <c r="J46" s="11"/>
      <c r="K46" s="12"/>
    </row>
    <row r="47" ht="15.75" customHeight="1">
      <c r="A47" s="32" t="s">
        <v>65</v>
      </c>
      <c r="B47" s="11"/>
      <c r="C47" s="11"/>
      <c r="D47" s="11"/>
      <c r="E47" s="11"/>
      <c r="F47" s="11"/>
      <c r="G47" s="11"/>
      <c r="H47" s="11"/>
      <c r="I47" s="11"/>
      <c r="J47" s="11"/>
      <c r="K47" s="12"/>
    </row>
    <row r="48" ht="137.25" customHeight="1">
      <c r="A48" s="53" t="s">
        <v>66</v>
      </c>
      <c r="B48" s="11"/>
      <c r="C48" s="11"/>
      <c r="D48" s="11"/>
      <c r="E48" s="11"/>
      <c r="F48" s="11"/>
      <c r="G48" s="11"/>
      <c r="H48" s="11"/>
      <c r="I48" s="11"/>
      <c r="J48" s="11"/>
      <c r="K48" s="12"/>
    </row>
    <row r="49" ht="15.75" customHeight="1">
      <c r="A49" s="54" t="s">
        <v>67</v>
      </c>
      <c r="B49" s="55"/>
      <c r="C49" s="55"/>
      <c r="D49" s="55"/>
      <c r="E49" s="55"/>
      <c r="F49" s="55"/>
      <c r="G49" s="55"/>
      <c r="H49" s="56"/>
      <c r="I49" s="22" t="s">
        <v>68</v>
      </c>
      <c r="J49" s="11"/>
      <c r="K49" s="12"/>
    </row>
    <row r="50" ht="15.75" customHeight="1">
      <c r="A50" s="57" t="s">
        <v>69</v>
      </c>
      <c r="B50" s="58"/>
      <c r="C50" s="58"/>
      <c r="D50" s="58"/>
      <c r="E50" s="58"/>
      <c r="F50" s="58"/>
      <c r="G50" s="58"/>
      <c r="H50" s="58"/>
      <c r="I50" s="58"/>
      <c r="J50" s="58"/>
      <c r="K50" s="59"/>
    </row>
    <row r="51" ht="15.75" customHeight="1">
      <c r="A51" s="60"/>
      <c r="B51" s="61"/>
      <c r="C51" s="61"/>
      <c r="D51" s="61"/>
      <c r="E51" s="61"/>
      <c r="F51" s="61"/>
      <c r="G51" s="61"/>
      <c r="H51" s="61"/>
      <c r="I51" s="61"/>
      <c r="J51" s="61"/>
      <c r="K51" s="62"/>
    </row>
    <row r="52" ht="15.75" customHeight="1">
      <c r="A52" s="29" t="s">
        <v>70</v>
      </c>
      <c r="B52" s="11"/>
      <c r="C52" s="11"/>
      <c r="D52" s="11"/>
      <c r="E52" s="11"/>
      <c r="F52" s="11"/>
      <c r="G52" s="11"/>
      <c r="H52" s="11"/>
      <c r="I52" s="11"/>
      <c r="J52" s="11"/>
      <c r="K52" s="12"/>
    </row>
    <row r="53" ht="48.0" customHeight="1">
      <c r="A53" s="63" t="s">
        <v>71</v>
      </c>
      <c r="B53" s="11"/>
      <c r="C53" s="11"/>
      <c r="D53" s="12"/>
      <c r="E53" s="39"/>
      <c r="F53" s="11"/>
      <c r="G53" s="11"/>
      <c r="H53" s="11"/>
      <c r="I53" s="11"/>
      <c r="J53" s="11"/>
      <c r="K53" s="12"/>
    </row>
    <row r="54" ht="36.75" customHeight="1">
      <c r="A54" s="63" t="s">
        <v>72</v>
      </c>
      <c r="B54" s="11"/>
      <c r="C54" s="11"/>
      <c r="D54" s="12"/>
      <c r="E54" s="64"/>
      <c r="F54" s="11"/>
      <c r="G54" s="11"/>
      <c r="H54" s="11"/>
      <c r="I54" s="11"/>
      <c r="J54" s="11"/>
      <c r="K54" s="12"/>
    </row>
    <row r="55" ht="56.25" customHeight="1">
      <c r="A55" s="63" t="s">
        <v>73</v>
      </c>
      <c r="B55" s="11"/>
      <c r="C55" s="11"/>
      <c r="D55" s="12"/>
      <c r="E55" s="64"/>
      <c r="F55" s="11"/>
      <c r="G55" s="11"/>
      <c r="H55" s="11"/>
      <c r="I55" s="11"/>
      <c r="J55" s="11"/>
      <c r="K55" s="12"/>
    </row>
    <row r="56" ht="15.75" customHeight="1">
      <c r="A56" s="65" t="s">
        <v>74</v>
      </c>
      <c r="B56" s="2"/>
      <c r="C56" s="2"/>
      <c r="D56" s="2"/>
      <c r="E56" s="2"/>
      <c r="F56" s="2"/>
      <c r="G56" s="2"/>
      <c r="H56" s="2"/>
      <c r="I56" s="2"/>
      <c r="J56" s="2"/>
      <c r="K56" s="3"/>
    </row>
    <row r="57" ht="26.25" customHeight="1">
      <c r="A57" s="6"/>
      <c r="B57" s="7"/>
      <c r="C57" s="7"/>
      <c r="D57" s="7"/>
      <c r="E57" s="7"/>
      <c r="F57" s="7"/>
      <c r="G57" s="7"/>
      <c r="H57" s="7"/>
      <c r="I57" s="7"/>
      <c r="J57" s="7"/>
      <c r="K57" s="8"/>
    </row>
    <row r="58" ht="15.75" customHeight="1">
      <c r="A58" s="66" t="s">
        <v>75</v>
      </c>
      <c r="B58" s="3"/>
      <c r="C58" s="67" t="s">
        <v>76</v>
      </c>
      <c r="D58" s="3"/>
      <c r="E58" s="67" t="s">
        <v>77</v>
      </c>
      <c r="F58" s="2"/>
      <c r="G58" s="68"/>
      <c r="H58" s="67" t="s">
        <v>78</v>
      </c>
      <c r="I58" s="2"/>
      <c r="J58" s="2"/>
      <c r="K58" s="3"/>
    </row>
    <row r="59" ht="15.75" customHeight="1">
      <c r="A59" s="4"/>
      <c r="B59" s="5"/>
      <c r="C59" s="4"/>
      <c r="D59" s="5"/>
      <c r="E59" s="4"/>
      <c r="G59" s="69"/>
      <c r="H59" s="4"/>
      <c r="K59" s="5"/>
    </row>
    <row r="60" ht="56.25" customHeight="1">
      <c r="A60" s="6"/>
      <c r="B60" s="8"/>
      <c r="C60" s="6"/>
      <c r="D60" s="8"/>
      <c r="E60" s="6"/>
      <c r="F60" s="7"/>
      <c r="G60" s="70"/>
      <c r="H60" s="6"/>
      <c r="I60" s="7"/>
      <c r="J60" s="7"/>
      <c r="K60" s="8"/>
    </row>
    <row r="61" ht="15.75" customHeight="1">
      <c r="A61" s="13"/>
      <c r="B61" s="12"/>
      <c r="C61" s="13"/>
      <c r="D61" s="12"/>
      <c r="E61" s="13"/>
      <c r="F61" s="11"/>
      <c r="G61" s="12"/>
      <c r="H61" s="13"/>
      <c r="I61" s="11"/>
      <c r="J61" s="11"/>
      <c r="K61" s="12"/>
    </row>
    <row r="62" ht="15.75" customHeight="1">
      <c r="A62" s="13"/>
      <c r="B62" s="12"/>
      <c r="C62" s="13"/>
      <c r="D62" s="12"/>
      <c r="E62" s="13"/>
      <c r="F62" s="11"/>
      <c r="G62" s="12"/>
      <c r="H62" s="13"/>
      <c r="I62" s="11"/>
      <c r="J62" s="11"/>
      <c r="K62" s="12"/>
    </row>
    <row r="63" ht="15.75" customHeight="1">
      <c r="A63" s="13"/>
      <c r="B63" s="12"/>
      <c r="C63" s="13"/>
      <c r="D63" s="12"/>
      <c r="E63" s="13"/>
      <c r="F63" s="11"/>
      <c r="G63" s="12"/>
      <c r="H63" s="13"/>
      <c r="I63" s="11"/>
      <c r="J63" s="11"/>
      <c r="K63" s="12"/>
    </row>
    <row r="64" ht="15.75" customHeight="1">
      <c r="A64" s="13"/>
      <c r="B64" s="12"/>
      <c r="C64" s="13"/>
      <c r="D64" s="12"/>
      <c r="E64" s="13"/>
      <c r="F64" s="11"/>
      <c r="G64" s="12"/>
      <c r="H64" s="13"/>
      <c r="I64" s="11"/>
      <c r="J64" s="11"/>
      <c r="K64" s="12"/>
    </row>
    <row r="65" ht="15.75" customHeight="1">
      <c r="A65" s="13"/>
      <c r="B65" s="12"/>
      <c r="C65" s="13"/>
      <c r="D65" s="12"/>
      <c r="E65" s="13"/>
      <c r="F65" s="11"/>
      <c r="G65" s="12"/>
      <c r="H65" s="13"/>
      <c r="I65" s="11"/>
      <c r="J65" s="11"/>
      <c r="K65" s="12"/>
    </row>
    <row r="66" ht="15.75" customHeight="1">
      <c r="A66" s="13"/>
      <c r="B66" s="12"/>
      <c r="C66" s="13"/>
      <c r="D66" s="12"/>
      <c r="E66" s="13"/>
      <c r="F66" s="11"/>
      <c r="G66" s="12"/>
      <c r="H66" s="13"/>
      <c r="I66" s="11"/>
      <c r="J66" s="11"/>
      <c r="K66" s="12"/>
    </row>
    <row r="67" ht="15.75" customHeight="1">
      <c r="A67" s="13"/>
      <c r="B67" s="12"/>
      <c r="C67" s="13"/>
      <c r="D67" s="12"/>
      <c r="E67" s="13"/>
      <c r="F67" s="11"/>
      <c r="G67" s="12"/>
      <c r="H67" s="13"/>
      <c r="I67" s="11"/>
      <c r="J67" s="11"/>
      <c r="K67" s="12"/>
    </row>
    <row r="68" ht="15.75" customHeight="1">
      <c r="A68" s="13"/>
      <c r="B68" s="12"/>
      <c r="C68" s="13"/>
      <c r="D68" s="12"/>
      <c r="E68" s="13"/>
      <c r="F68" s="11"/>
      <c r="G68" s="12"/>
      <c r="H68" s="13"/>
      <c r="I68" s="11"/>
      <c r="J68" s="11"/>
      <c r="K68" s="12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</row>
    <row r="69" ht="15.75" customHeight="1">
      <c r="A69" s="72" t="s">
        <v>79</v>
      </c>
      <c r="B69" s="2"/>
      <c r="C69" s="2"/>
      <c r="D69" s="2"/>
      <c r="E69" s="2"/>
      <c r="F69" s="2"/>
      <c r="G69" s="2"/>
      <c r="H69" s="2"/>
      <c r="I69" s="2"/>
      <c r="J69" s="2"/>
      <c r="K69" s="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</row>
    <row r="70" ht="15.7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8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</row>
    <row r="71" ht="15.75" customHeight="1">
      <c r="A71" s="74" t="s">
        <v>80</v>
      </c>
      <c r="B71" s="24"/>
      <c r="C71" s="24"/>
      <c r="D71" s="25"/>
      <c r="E71" s="75" t="str">
        <f>G9</f>
        <v>00h (preencher anexo II)</v>
      </c>
      <c r="F71" s="11"/>
      <c r="G71" s="11"/>
      <c r="H71" s="11"/>
      <c r="I71" s="11"/>
      <c r="J71" s="11"/>
      <c r="K71" s="12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</row>
    <row r="72" ht="29.25" customHeight="1">
      <c r="A72" s="77" t="s">
        <v>81</v>
      </c>
      <c r="B72" s="78" t="s">
        <v>82</v>
      </c>
      <c r="C72" s="11"/>
      <c r="D72" s="11"/>
      <c r="E72" s="12"/>
      <c r="F72" s="78" t="s">
        <v>83</v>
      </c>
      <c r="G72" s="11"/>
      <c r="H72" s="11"/>
      <c r="I72" s="11"/>
      <c r="J72" s="12"/>
      <c r="K72" s="79" t="s">
        <v>84</v>
      </c>
      <c r="L72" s="80"/>
      <c r="M72" s="81"/>
      <c r="N72" s="8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</row>
    <row r="73" ht="57.0" customHeight="1">
      <c r="A73" s="82" t="s">
        <v>85</v>
      </c>
      <c r="B73" s="83">
        <v>4.0</v>
      </c>
      <c r="C73" s="11"/>
      <c r="D73" s="11"/>
      <c r="E73" s="12"/>
      <c r="F73" s="84" t="s">
        <v>86</v>
      </c>
      <c r="G73" s="11"/>
      <c r="H73" s="11"/>
      <c r="I73" s="11"/>
      <c r="J73" s="12"/>
      <c r="K73" s="85">
        <v>0.06666666</v>
      </c>
      <c r="L73" s="86"/>
      <c r="M73" s="86"/>
      <c r="N73" s="87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</row>
    <row r="74" ht="42.75" customHeight="1">
      <c r="A74" s="82" t="s">
        <v>87</v>
      </c>
      <c r="B74" s="83">
        <v>4.0</v>
      </c>
      <c r="C74" s="11"/>
      <c r="D74" s="11"/>
      <c r="E74" s="12"/>
      <c r="F74" s="84" t="s">
        <v>86</v>
      </c>
      <c r="G74" s="11"/>
      <c r="H74" s="11"/>
      <c r="I74" s="11"/>
      <c r="J74" s="12"/>
      <c r="K74" s="85">
        <v>0.06666666</v>
      </c>
      <c r="L74" s="86"/>
      <c r="M74" s="86"/>
      <c r="N74" s="86"/>
      <c r="O74" s="71"/>
      <c r="P74" s="71"/>
      <c r="Q74" s="71"/>
      <c r="R74" s="71"/>
      <c r="S74" s="71"/>
      <c r="T74" s="71"/>
      <c r="U74" s="71"/>
      <c r="V74" s="71"/>
      <c r="W74" s="88"/>
      <c r="X74" s="71"/>
      <c r="Y74" s="71"/>
      <c r="Z74" s="71"/>
      <c r="AA74" s="71"/>
      <c r="AB74" s="71"/>
    </row>
    <row r="75" ht="48.0" customHeight="1">
      <c r="A75" s="82" t="s">
        <v>88</v>
      </c>
      <c r="B75" s="83">
        <v>4.0</v>
      </c>
      <c r="C75" s="11"/>
      <c r="D75" s="11"/>
      <c r="E75" s="12"/>
      <c r="F75" s="84" t="s">
        <v>86</v>
      </c>
      <c r="G75" s="11"/>
      <c r="H75" s="11"/>
      <c r="I75" s="11"/>
      <c r="J75" s="12"/>
      <c r="K75" s="85">
        <v>0.06666666</v>
      </c>
      <c r="L75" s="86"/>
      <c r="M75" s="86"/>
      <c r="N75" s="87"/>
      <c r="O75" s="71"/>
      <c r="P75" s="71"/>
      <c r="Q75" s="71"/>
      <c r="R75" s="71"/>
      <c r="S75" s="71"/>
      <c r="T75" s="71"/>
      <c r="U75" s="71"/>
      <c r="V75" s="71"/>
      <c r="W75" s="88"/>
      <c r="X75" s="71"/>
      <c r="Y75" s="71"/>
      <c r="Z75" s="71"/>
      <c r="AA75" s="71"/>
      <c r="AB75" s="71"/>
    </row>
    <row r="76" ht="15.75" customHeight="1">
      <c r="A76" s="77"/>
      <c r="B76" s="78"/>
      <c r="C76" s="11"/>
      <c r="D76" s="11"/>
      <c r="E76" s="12"/>
      <c r="F76" s="89"/>
      <c r="J76" s="69"/>
      <c r="K76" s="90"/>
      <c r="L76" s="86"/>
      <c r="M76" s="86"/>
      <c r="N76" s="86"/>
      <c r="O76" s="71"/>
      <c r="P76" s="71"/>
      <c r="Q76" s="71"/>
      <c r="R76" s="71"/>
      <c r="S76" s="71"/>
      <c r="T76" s="71"/>
      <c r="U76" s="71"/>
      <c r="V76" s="71"/>
      <c r="W76" s="88"/>
      <c r="X76" s="71"/>
      <c r="Y76" s="71"/>
      <c r="Z76" s="71"/>
      <c r="AA76" s="71"/>
      <c r="AB76" s="71"/>
    </row>
    <row r="77" ht="15.75" customHeight="1">
      <c r="A77" s="77"/>
      <c r="B77" s="78"/>
      <c r="C77" s="11"/>
      <c r="D77" s="11"/>
      <c r="E77" s="12"/>
      <c r="F77" s="78"/>
      <c r="G77" s="11"/>
      <c r="H77" s="11"/>
      <c r="I77" s="11"/>
      <c r="J77" s="12"/>
      <c r="K77" s="91"/>
      <c r="L77" s="86"/>
      <c r="M77" s="86"/>
      <c r="N77" s="86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</row>
    <row r="78" ht="15.75" customHeight="1">
      <c r="A78" s="77"/>
      <c r="B78" s="78"/>
      <c r="C78" s="11"/>
      <c r="D78" s="11"/>
      <c r="E78" s="12"/>
      <c r="F78" s="78"/>
      <c r="G78" s="11"/>
      <c r="H78" s="11"/>
      <c r="I78" s="11"/>
      <c r="J78" s="12"/>
      <c r="K78" s="91"/>
      <c r="L78" s="86"/>
      <c r="M78" s="86"/>
      <c r="N78" s="86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</row>
    <row r="79" ht="15.75" customHeight="1">
      <c r="A79" s="77"/>
      <c r="B79" s="78"/>
      <c r="C79" s="11"/>
      <c r="D79" s="11"/>
      <c r="E79" s="12"/>
      <c r="F79" s="78"/>
      <c r="G79" s="11"/>
      <c r="H79" s="11"/>
      <c r="I79" s="11"/>
      <c r="J79" s="12"/>
      <c r="K79" s="91"/>
      <c r="L79" s="86"/>
      <c r="M79" s="86"/>
      <c r="N79" s="86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</row>
    <row r="80" ht="15.75" customHeight="1">
      <c r="A80" s="77"/>
      <c r="B80" s="78"/>
      <c r="C80" s="11"/>
      <c r="D80" s="11"/>
      <c r="E80" s="12"/>
      <c r="F80" s="78"/>
      <c r="G80" s="11"/>
      <c r="H80" s="11"/>
      <c r="I80" s="11"/>
      <c r="J80" s="12"/>
      <c r="K80" s="91"/>
      <c r="L80" s="86"/>
      <c r="M80" s="86"/>
      <c r="N80" s="86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</row>
    <row r="81" ht="15.75" customHeight="1">
      <c r="A81" s="77"/>
      <c r="B81" s="78"/>
      <c r="C81" s="11"/>
      <c r="D81" s="11"/>
      <c r="E81" s="12"/>
      <c r="F81" s="78"/>
      <c r="G81" s="11"/>
      <c r="H81" s="11"/>
      <c r="I81" s="11"/>
      <c r="J81" s="12"/>
      <c r="K81" s="91"/>
      <c r="L81" s="86"/>
      <c r="M81" s="86"/>
      <c r="N81" s="86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</row>
    <row r="82" ht="15.75" customHeight="1">
      <c r="A82" s="92" t="s">
        <v>89</v>
      </c>
      <c r="B82" s="11"/>
      <c r="C82" s="11"/>
      <c r="D82" s="11"/>
      <c r="E82" s="11"/>
      <c r="F82" s="11"/>
      <c r="G82" s="11"/>
      <c r="H82" s="11"/>
      <c r="I82" s="11"/>
      <c r="J82" s="11"/>
      <c r="K82" s="12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</row>
    <row r="83" ht="15.75" customHeight="1">
      <c r="A83" s="94" t="s">
        <v>90</v>
      </c>
      <c r="B83" s="11"/>
      <c r="C83" s="11"/>
      <c r="D83" s="11"/>
      <c r="E83" s="11"/>
      <c r="F83" s="11"/>
      <c r="G83" s="11"/>
      <c r="H83" s="11"/>
      <c r="I83" s="11"/>
      <c r="J83" s="11"/>
      <c r="K83" s="12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</row>
    <row r="84" ht="15.75" customHeight="1">
      <c r="A84" s="96" t="s">
        <v>91</v>
      </c>
      <c r="B84" s="2"/>
      <c r="C84" s="2"/>
      <c r="D84" s="2"/>
      <c r="E84" s="2"/>
      <c r="F84" s="2"/>
      <c r="G84" s="2"/>
      <c r="H84" s="2"/>
      <c r="I84" s="2"/>
      <c r="J84" s="2"/>
      <c r="K84" s="3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</row>
    <row r="85" ht="15.75" customHeight="1">
      <c r="A85" s="4"/>
      <c r="K85" s="5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</row>
    <row r="86" ht="15.75" customHeight="1">
      <c r="A86" s="4"/>
      <c r="K86" s="5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</row>
    <row r="87" ht="15.75" customHeight="1">
      <c r="A87" s="4"/>
      <c r="K87" s="5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</row>
    <row r="88" ht="15.75" customHeight="1">
      <c r="A88" s="4"/>
      <c r="K88" s="5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</row>
    <row r="89" ht="15.75" customHeight="1">
      <c r="A89" s="6"/>
      <c r="B89" s="7"/>
      <c r="C89" s="7"/>
      <c r="D89" s="7"/>
      <c r="E89" s="7"/>
      <c r="F89" s="7"/>
      <c r="G89" s="7"/>
      <c r="H89" s="7"/>
      <c r="I89" s="7"/>
      <c r="J89" s="7"/>
      <c r="K89" s="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B8:C8"/>
    <mergeCell ref="B9:C9"/>
    <mergeCell ref="D9:E9"/>
    <mergeCell ref="B10:C10"/>
    <mergeCell ref="D10:E10"/>
    <mergeCell ref="A1:K4"/>
    <mergeCell ref="B5:K5"/>
    <mergeCell ref="B6:K6"/>
    <mergeCell ref="B7:K7"/>
    <mergeCell ref="D8:E8"/>
    <mergeCell ref="G8:H8"/>
    <mergeCell ref="J8:K8"/>
    <mergeCell ref="G9:K9"/>
    <mergeCell ref="G10:K10"/>
    <mergeCell ref="B11:K11"/>
    <mergeCell ref="B12:K12"/>
    <mergeCell ref="B13:K13"/>
    <mergeCell ref="B14:K14"/>
    <mergeCell ref="B15:K15"/>
    <mergeCell ref="H22:K22"/>
    <mergeCell ref="H23:I23"/>
    <mergeCell ref="J23:K23"/>
    <mergeCell ref="A16:K16"/>
    <mergeCell ref="A17:K17"/>
    <mergeCell ref="A18:K18"/>
    <mergeCell ref="A19:K19"/>
    <mergeCell ref="A20:K20"/>
    <mergeCell ref="A21:K21"/>
    <mergeCell ref="A22:G23"/>
    <mergeCell ref="H26:I26"/>
    <mergeCell ref="J26:K26"/>
    <mergeCell ref="A24:G24"/>
    <mergeCell ref="H24:I24"/>
    <mergeCell ref="J24:K24"/>
    <mergeCell ref="A25:G25"/>
    <mergeCell ref="H25:I25"/>
    <mergeCell ref="J25:K25"/>
    <mergeCell ref="A26:G26"/>
    <mergeCell ref="H29:I29"/>
    <mergeCell ref="J29:K29"/>
    <mergeCell ref="A27:G27"/>
    <mergeCell ref="H27:I27"/>
    <mergeCell ref="J27:K27"/>
    <mergeCell ref="A28:G28"/>
    <mergeCell ref="H28:I28"/>
    <mergeCell ref="J28:K28"/>
    <mergeCell ref="A29:G29"/>
    <mergeCell ref="A30:G30"/>
    <mergeCell ref="H30:I30"/>
    <mergeCell ref="J30:K30"/>
    <mergeCell ref="A31:K31"/>
    <mergeCell ref="A32:K32"/>
    <mergeCell ref="A33:K33"/>
    <mergeCell ref="A34:K34"/>
    <mergeCell ref="A35:K35"/>
    <mergeCell ref="B36:E36"/>
    <mergeCell ref="F36:G36"/>
    <mergeCell ref="H36:K36"/>
    <mergeCell ref="B37:E37"/>
    <mergeCell ref="F37:G37"/>
    <mergeCell ref="H37:K37"/>
    <mergeCell ref="F40:G40"/>
    <mergeCell ref="H40:K40"/>
    <mergeCell ref="B38:E38"/>
    <mergeCell ref="F38:G38"/>
    <mergeCell ref="H38:K38"/>
    <mergeCell ref="B39:E39"/>
    <mergeCell ref="F39:G39"/>
    <mergeCell ref="H39:K39"/>
    <mergeCell ref="B40:E40"/>
    <mergeCell ref="B41:E41"/>
    <mergeCell ref="F41:G41"/>
    <mergeCell ref="H41:K41"/>
    <mergeCell ref="B42:E42"/>
    <mergeCell ref="F42:G42"/>
    <mergeCell ref="H42:K42"/>
    <mergeCell ref="A43:K43"/>
    <mergeCell ref="A64:B64"/>
    <mergeCell ref="C64:D64"/>
    <mergeCell ref="E64:G64"/>
    <mergeCell ref="H64:K64"/>
    <mergeCell ref="C65:D65"/>
    <mergeCell ref="E65:G65"/>
    <mergeCell ref="H65:K65"/>
    <mergeCell ref="A65:B65"/>
    <mergeCell ref="A66:B66"/>
    <mergeCell ref="C66:D66"/>
    <mergeCell ref="E66:G66"/>
    <mergeCell ref="H66:K66"/>
    <mergeCell ref="A67:B67"/>
    <mergeCell ref="C67:D67"/>
    <mergeCell ref="B75:E75"/>
    <mergeCell ref="B76:E76"/>
    <mergeCell ref="B77:E77"/>
    <mergeCell ref="B78:E78"/>
    <mergeCell ref="B79:E79"/>
    <mergeCell ref="B80:E80"/>
    <mergeCell ref="B81:E81"/>
    <mergeCell ref="B72:E72"/>
    <mergeCell ref="F72:J72"/>
    <mergeCell ref="B73:E73"/>
    <mergeCell ref="F73:J73"/>
    <mergeCell ref="B74:E74"/>
    <mergeCell ref="F74:J74"/>
    <mergeCell ref="F75:J75"/>
    <mergeCell ref="A83:K83"/>
    <mergeCell ref="A84:K89"/>
    <mergeCell ref="F76:J76"/>
    <mergeCell ref="F77:J77"/>
    <mergeCell ref="F78:J78"/>
    <mergeCell ref="F79:J79"/>
    <mergeCell ref="F80:J80"/>
    <mergeCell ref="F81:J81"/>
    <mergeCell ref="A82:K82"/>
    <mergeCell ref="A44:K44"/>
    <mergeCell ref="A45:K45"/>
    <mergeCell ref="A46:K46"/>
    <mergeCell ref="A47:K47"/>
    <mergeCell ref="A48:K48"/>
    <mergeCell ref="I49:K49"/>
    <mergeCell ref="A52:K52"/>
    <mergeCell ref="A53:D53"/>
    <mergeCell ref="E53:K53"/>
    <mergeCell ref="A54:D54"/>
    <mergeCell ref="E54:K54"/>
    <mergeCell ref="A55:D55"/>
    <mergeCell ref="E55:K55"/>
    <mergeCell ref="A56:K57"/>
    <mergeCell ref="A58:B60"/>
    <mergeCell ref="C58:D60"/>
    <mergeCell ref="E58:G60"/>
    <mergeCell ref="H58:K60"/>
    <mergeCell ref="C61:D61"/>
    <mergeCell ref="E61:G61"/>
    <mergeCell ref="H61:K61"/>
    <mergeCell ref="E63:G63"/>
    <mergeCell ref="H63:K63"/>
    <mergeCell ref="A61:B61"/>
    <mergeCell ref="A62:B62"/>
    <mergeCell ref="C62:D62"/>
    <mergeCell ref="E62:G62"/>
    <mergeCell ref="H62:K62"/>
    <mergeCell ref="A63:B63"/>
    <mergeCell ref="C63:D63"/>
    <mergeCell ref="E67:G67"/>
    <mergeCell ref="H67:K67"/>
    <mergeCell ref="A68:B68"/>
    <mergeCell ref="C68:D68"/>
    <mergeCell ref="E68:G68"/>
    <mergeCell ref="H68:K68"/>
    <mergeCell ref="A69:K70"/>
    <mergeCell ref="A71:D71"/>
    <mergeCell ref="E71:K71"/>
  </mergeCells>
  <conditionalFormatting sqref="M3">
    <cfRule type="expression" dxfId="0" priority="1">
      <formula>LEN(TRIM(M3))&gt;0</formula>
    </cfRule>
  </conditionalFormatting>
  <dataValidations>
    <dataValidation type="list" allowBlank="1" sqref="I49">
      <formula1>"Não analisado,Pendências apontadas pela CGP,Devolvido pelo docente,Aprovado,Não entregue"</formula1>
    </dataValidation>
    <dataValidation type="list" allowBlank="1" showErrorMessage="1" sqref="B6">
      <formula1>"Bacharelado em Sistemas de Informação,Bacharelado em Arquitetura e Urbanismo,Bacharelado em Administração,Escolha o curso"</formula1>
    </dataValidation>
  </dataValidations>
  <hyperlinks>
    <hyperlink r:id="rId2" ref="A84"/>
  </hyperlinks>
  <printOptions/>
  <pageMargins bottom="0.75" footer="0.0" header="0.0" left="0.7" right="0.7" top="0.75"/>
  <pageSetup paperSize="9" orientation="landscape"/>
  <drawing r:id="rId3"/>
  <legacyDrawing r:id="rId4"/>
</worksheet>
</file>